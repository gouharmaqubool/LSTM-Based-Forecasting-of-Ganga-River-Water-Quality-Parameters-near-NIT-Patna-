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gauha\Downloads\Time series_6yr\"/>
    </mc:Choice>
  </mc:AlternateContent>
  <xr:revisionPtr revIDLastSave="0" documentId="13_ncr:1_{E4D8DAA1-2A01-45D3-A592-CD7BCB4F51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 a="1"/>
  <c r="L6" i="1" s="1"/>
  <c r="J6" i="1"/>
  <c r="I6" i="1"/>
  <c r="K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<sst xmlns="http://schemas.openxmlformats.org/spreadsheetml/2006/main" count="12" uniqueCount="12">
  <si>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Month</t>
  </si>
  <si>
    <t>Gandhi_Ghat_Conductivity</t>
  </si>
  <si>
    <t>Gandhi_Ghat_Chlorides</t>
  </si>
  <si>
    <t>Gulabi_Ghat_Conductivity</t>
  </si>
  <si>
    <t>Gulabi_Ghat_Chlorides</t>
  </si>
  <si>
    <t>Gandhi_Ghat_T.D.S( mg/Lt)</t>
  </si>
  <si>
    <t>Gulabi_Ghat_T.D.S( mg/Lt)</t>
  </si>
  <si>
    <t>Z score 1 QUART</t>
  </si>
  <si>
    <t>Z score 3 QUART</t>
  </si>
  <si>
    <t>Substract</t>
  </si>
  <si>
    <t xml:space="preserve">Lower 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</si>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</sst>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3" borderId="0" xfId="0" applyFill="1"/>
    <xf numFmtId="0" fontId="0" fillId="4" borderId="0" xfId="0" applyFill="1"/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0" fillId="2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0" fillId="6" borderId="0" xfId="0" applyFill="1"/>
    <xf numFmtId="0" fontId="0" fillId="7" borderId="0" xfId="0" applyFill="1"/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right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zoomScale="74" zoomScaleNormal="80" workbookViewId="0">
      <selection activeCell="B1" sqref="B1"/>
    </sheetView>
  </sheetViews>
  <sheetFormatPr defaultColWidth="9" defaultRowHeight="14.4"/>
  <cols>
    <col min="1" max="1" width="28.88671875" customWidth="1"/>
    <col min="2" max="2" width="24.5546875" style="2" customWidth="1"/>
    <col min="3" max="3" width="23" style="15" customWidth="1"/>
    <col min="4" max="4" width="20.33203125" style="11" customWidth="1"/>
    <col min="5" max="5" width="23.77734375" style="6" bestFit="1" customWidth="1"/>
    <col min="6" max="6" width="22.44140625" style="15" customWidth="1"/>
    <col min="7" max="7" width="26.5546875" style="11" customWidth="1"/>
    <col min="9" max="10" width="15.21875" bestFit="1" customWidth="1"/>
  </cols>
  <sheetData>
    <row r="1" spans="1:13">
      <c r="A1" t="s">
        <v>0</v>
      </c>
      <c r="B1" s="5" t="s">
        <v>5</v>
      </c>
      <c r="C1" s="18" t="s">
        <v>1</v>
      </c>
      <c r="D1" s="14" t="s">
        <v>2</v>
      </c>
      <c r="E1" s="5" t="s">
        <v>6</v>
      </c>
      <c r="F1" s="18" t="s">
        <v>3</v>
      </c>
      <c r="G1" s="14" t="s">
        <v>4</v>
      </c>
    </row>
    <row r="2" spans="1:13">
      <c r="A2" s="1">
        <v>43466</v>
      </c>
      <c r="B2" s="2">
        <v>638</v>
      </c>
      <c r="C2" s="15">
        <v>410</v>
      </c>
      <c r="D2" s="11">
        <v>35</v>
      </c>
      <c r="E2" s="6">
        <v>150</v>
      </c>
      <c r="F2" s="15">
        <v>390</v>
      </c>
      <c r="G2" s="11">
        <v>29</v>
      </c>
      <c r="H2" s="1"/>
    </row>
    <row r="3" spans="1:13">
      <c r="A3" s="1">
        <v>43497</v>
      </c>
      <c r="B3" s="2">
        <v>286</v>
      </c>
      <c r="C3" s="15">
        <v>444</v>
      </c>
      <c r="D3" s="11">
        <v>34</v>
      </c>
      <c r="E3" s="6">
        <v>300</v>
      </c>
      <c r="F3" s="15">
        <v>438</v>
      </c>
      <c r="G3" s="11">
        <v>32</v>
      </c>
      <c r="H3" s="1"/>
    </row>
    <row r="4" spans="1:13">
      <c r="A4" s="1">
        <v>43525</v>
      </c>
      <c r="B4" s="2">
        <v>262</v>
      </c>
      <c r="C4" s="15">
        <v>467</v>
      </c>
      <c r="D4" s="11">
        <v>30</v>
      </c>
      <c r="E4" s="6">
        <v>200</v>
      </c>
      <c r="F4" s="15">
        <v>465</v>
      </c>
      <c r="G4" s="11">
        <v>34</v>
      </c>
      <c r="H4" s="1"/>
    </row>
    <row r="5" spans="1:13">
      <c r="A5" s="1">
        <v>43556</v>
      </c>
      <c r="B5" s="2">
        <v>278</v>
      </c>
      <c r="C5" s="15">
        <v>379</v>
      </c>
      <c r="D5" s="11">
        <v>27</v>
      </c>
      <c r="E5" s="6">
        <v>197</v>
      </c>
      <c r="F5" s="15">
        <v>458</v>
      </c>
      <c r="G5" s="11">
        <v>42</v>
      </c>
      <c r="H5" s="1"/>
      <c r="I5" t="s">
        <v>7</v>
      </c>
      <c r="J5" t="s">
        <v>8</v>
      </c>
      <c r="K5" t="s">
        <v>9</v>
      </c>
      <c r="L5" t="s">
        <v>10</v>
      </c>
      <c r="M5" t="s">
        <v>11</v>
      </c>
    </row>
    <row r="6" spans="1:13">
      <c r="A6" s="1">
        <v>43586</v>
      </c>
      <c r="B6" s="2">
        <v>198</v>
      </c>
      <c r="C6" s="15">
        <v>421</v>
      </c>
      <c r="D6" s="11">
        <v>28</v>
      </c>
      <c r="E6" s="6">
        <v>188</v>
      </c>
      <c r="F6" s="15">
        <v>457</v>
      </c>
      <c r="G6" s="11">
        <v>30</v>
      </c>
      <c r="H6" s="1"/>
      <c r="I6">
        <f>_xlfn.QUARTILE.EXC(F2:F25, 1)</f>
        <v>322.5</v>
      </c>
      <c r="J6">
        <f>_xlfn.QUARTILE.EXC(F2:F25, 3)</f>
        <v>407</v>
      </c>
      <c r="K6">
        <f xml:space="preserve"> -(I6-J6)</f>
        <v>84.5</v>
      </c>
      <c r="L6" t="e" cm="1">
        <f t="array" ref="L6" xml:space="preserve"> M6-(1.5 *K6l)</f>
        <v>#NAME?</v>
      </c>
    </row>
    <row r="7" spans="1:13">
      <c r="A7" s="1">
        <v>43617</v>
      </c>
      <c r="B7" s="2">
        <v>192</v>
      </c>
      <c r="C7" s="15">
        <v>404</v>
      </c>
      <c r="D7" s="11">
        <v>28</v>
      </c>
      <c r="E7" s="6">
        <v>186</v>
      </c>
      <c r="F7" s="15">
        <v>401</v>
      </c>
      <c r="G7" s="11">
        <v>27</v>
      </c>
      <c r="H7" s="1"/>
    </row>
    <row r="8" spans="1:13">
      <c r="A8" s="1">
        <v>43647</v>
      </c>
      <c r="B8" s="2">
        <v>190</v>
      </c>
      <c r="C8" s="15">
        <v>345</v>
      </c>
      <c r="D8" s="11">
        <v>18</v>
      </c>
      <c r="E8" s="6">
        <v>182</v>
      </c>
      <c r="F8" s="15">
        <v>409</v>
      </c>
      <c r="G8" s="11">
        <v>17</v>
      </c>
      <c r="H8" s="1"/>
    </row>
    <row r="9" spans="1:13">
      <c r="A9" s="1">
        <v>43678</v>
      </c>
      <c r="B9" s="2">
        <v>198</v>
      </c>
      <c r="C9" s="15">
        <v>451</v>
      </c>
      <c r="D9" s="11">
        <v>34</v>
      </c>
      <c r="E9" s="6">
        <v>179</v>
      </c>
      <c r="F9" s="15">
        <v>345</v>
      </c>
      <c r="G9" s="11">
        <v>19</v>
      </c>
      <c r="H9" s="1"/>
    </row>
    <row r="10" spans="1:13">
      <c r="A10" s="1">
        <v>43709</v>
      </c>
      <c r="B10" s="2">
        <v>160</v>
      </c>
      <c r="C10" s="15">
        <v>265</v>
      </c>
      <c r="D10" s="11">
        <v>22</v>
      </c>
      <c r="E10" s="6">
        <v>172</v>
      </c>
      <c r="F10" s="15">
        <v>263</v>
      </c>
      <c r="G10" s="11">
        <v>17</v>
      </c>
      <c r="H10" s="1"/>
    </row>
    <row r="11" spans="1:13">
      <c r="A11" s="1">
        <v>43739</v>
      </c>
      <c r="B11" s="2">
        <v>238</v>
      </c>
      <c r="C11" s="15">
        <v>312</v>
      </c>
      <c r="D11" s="11">
        <v>24</v>
      </c>
      <c r="E11" s="6">
        <v>276</v>
      </c>
      <c r="F11" s="15">
        <v>295</v>
      </c>
      <c r="G11" s="11">
        <v>22</v>
      </c>
      <c r="H11" s="1"/>
    </row>
    <row r="12" spans="1:13">
      <c r="A12" s="1">
        <v>43770</v>
      </c>
      <c r="B12" s="2">
        <v>226</v>
      </c>
      <c r="C12" s="15">
        <v>376</v>
      </c>
      <c r="D12" s="11">
        <v>21</v>
      </c>
      <c r="E12" s="6">
        <v>264</v>
      </c>
      <c r="F12" s="15">
        <v>370</v>
      </c>
      <c r="G12" s="11">
        <v>20</v>
      </c>
      <c r="H12" s="1"/>
    </row>
    <row r="13" spans="1:13">
      <c r="A13" s="1">
        <v>43800</v>
      </c>
      <c r="B13" s="2">
        <v>194</v>
      </c>
      <c r="C13" s="15">
        <v>446</v>
      </c>
      <c r="D13" s="11">
        <v>29</v>
      </c>
      <c r="E13" s="6">
        <v>318</v>
      </c>
      <c r="F13" s="15">
        <v>387</v>
      </c>
      <c r="G13" s="11">
        <v>26</v>
      </c>
      <c r="H13" s="1"/>
    </row>
    <row r="14" spans="1:13">
      <c r="A14" s="1">
        <v>43831</v>
      </c>
      <c r="B14">
        <v>264</v>
      </c>
      <c r="C14" s="15">
        <v>387</v>
      </c>
      <c r="D14" s="11">
        <v>58</v>
      </c>
      <c r="E14">
        <v>331</v>
      </c>
      <c r="F14" s="15">
        <v>357</v>
      </c>
      <c r="G14" s="11">
        <v>28</v>
      </c>
      <c r="H14" s="1"/>
    </row>
    <row r="15" spans="1:13">
      <c r="A15" s="1">
        <v>43862</v>
      </c>
      <c r="B15" s="2">
        <v>266</v>
      </c>
      <c r="C15" s="15">
        <v>390</v>
      </c>
      <c r="D15" s="11">
        <v>78</v>
      </c>
      <c r="E15" s="6">
        <v>328</v>
      </c>
      <c r="F15" s="15">
        <v>396</v>
      </c>
      <c r="G15" s="11">
        <v>64</v>
      </c>
      <c r="H15" s="1"/>
    </row>
    <row r="16" spans="1:13">
      <c r="A16" s="1">
        <v>43891</v>
      </c>
      <c r="B16" s="2">
        <v>218</v>
      </c>
      <c r="C16" s="15">
        <v>500</v>
      </c>
      <c r="D16" s="11">
        <v>42</v>
      </c>
      <c r="E16" s="6">
        <v>324</v>
      </c>
      <c r="F16" s="15">
        <v>500</v>
      </c>
      <c r="G16" s="11">
        <v>44</v>
      </c>
      <c r="H16" s="1"/>
    </row>
    <row r="17" spans="1:8">
      <c r="A17" s="1">
        <v>43922</v>
      </c>
      <c r="B17" s="2">
        <v>232</v>
      </c>
      <c r="C17" s="15">
        <v>375</v>
      </c>
      <c r="D17" s="11">
        <v>35</v>
      </c>
      <c r="E17" s="6">
        <v>248</v>
      </c>
      <c r="F17" s="15">
        <v>393</v>
      </c>
      <c r="G17" s="11">
        <v>36</v>
      </c>
      <c r="H17" s="1"/>
    </row>
    <row r="18" spans="1:8">
      <c r="A18" s="1">
        <v>43952</v>
      </c>
      <c r="B18" s="2">
        <v>198</v>
      </c>
      <c r="C18" s="15">
        <v>354</v>
      </c>
      <c r="D18" s="11">
        <v>11</v>
      </c>
      <c r="E18" s="6">
        <v>180</v>
      </c>
      <c r="F18" s="15">
        <v>333</v>
      </c>
      <c r="G18" s="11">
        <v>16</v>
      </c>
      <c r="H18" s="1"/>
    </row>
    <row r="19" spans="1:8">
      <c r="A19" s="1">
        <v>43983</v>
      </c>
      <c r="B19" s="2">
        <v>196</v>
      </c>
      <c r="C19" s="15">
        <v>353</v>
      </c>
      <c r="D19" s="11">
        <v>32</v>
      </c>
      <c r="E19" s="6">
        <v>220</v>
      </c>
      <c r="F19" s="15">
        <v>306</v>
      </c>
      <c r="G19" s="11">
        <v>25</v>
      </c>
      <c r="H19" s="1"/>
    </row>
    <row r="20" spans="1:8">
      <c r="A20" s="1">
        <v>44013</v>
      </c>
      <c r="B20" s="2">
        <v>222</v>
      </c>
      <c r="C20" s="15">
        <v>295</v>
      </c>
      <c r="D20" s="11">
        <v>18</v>
      </c>
      <c r="E20" s="6">
        <v>168</v>
      </c>
      <c r="F20" s="15">
        <v>286</v>
      </c>
      <c r="G20" s="11">
        <v>20</v>
      </c>
      <c r="H20" s="1"/>
    </row>
    <row r="21" spans="1:8">
      <c r="A21" s="1">
        <v>44044</v>
      </c>
      <c r="B21" s="2">
        <v>252</v>
      </c>
      <c r="C21" s="15">
        <v>290</v>
      </c>
      <c r="D21" s="11">
        <v>67</v>
      </c>
      <c r="E21" s="6">
        <v>158</v>
      </c>
      <c r="F21" s="15">
        <v>276</v>
      </c>
      <c r="G21" s="11">
        <v>46</v>
      </c>
      <c r="H21" s="1"/>
    </row>
    <row r="22" spans="1:8">
      <c r="A22" s="1">
        <v>44075</v>
      </c>
      <c r="B22" s="2">
        <v>310</v>
      </c>
      <c r="C22" s="15">
        <v>309</v>
      </c>
      <c r="D22" s="11">
        <v>23</v>
      </c>
      <c r="E22" s="6">
        <v>232</v>
      </c>
      <c r="F22" s="15">
        <v>319</v>
      </c>
      <c r="G22" s="11">
        <v>22</v>
      </c>
      <c r="H22" s="1"/>
    </row>
    <row r="23" spans="1:8">
      <c r="A23" s="1">
        <v>44105</v>
      </c>
      <c r="B23" s="2">
        <v>214</v>
      </c>
      <c r="C23" s="15">
        <v>378</v>
      </c>
      <c r="D23" s="11">
        <v>43</v>
      </c>
      <c r="E23" s="6">
        <v>228</v>
      </c>
      <c r="F23" s="15">
        <v>355</v>
      </c>
      <c r="G23" s="11">
        <v>41</v>
      </c>
      <c r="H23" s="1"/>
    </row>
    <row r="24" spans="1:8">
      <c r="A24" s="1">
        <v>44136</v>
      </c>
      <c r="B24" s="2">
        <v>278</v>
      </c>
      <c r="C24" s="15">
        <v>395</v>
      </c>
      <c r="D24" s="11">
        <v>29</v>
      </c>
      <c r="E24" s="6">
        <v>276</v>
      </c>
      <c r="F24" s="15">
        <v>334</v>
      </c>
      <c r="G24" s="11">
        <v>26</v>
      </c>
      <c r="H24" s="1"/>
    </row>
    <row r="25" spans="1:8" ht="15" thickBot="1">
      <c r="A25" s="1">
        <v>44166</v>
      </c>
      <c r="B25" s="2">
        <v>268</v>
      </c>
      <c r="C25" s="15">
        <v>371</v>
      </c>
      <c r="D25" s="11">
        <v>31</v>
      </c>
      <c r="E25" s="6">
        <v>226</v>
      </c>
      <c r="F25" s="15">
        <v>360</v>
      </c>
      <c r="G25" s="11">
        <v>28</v>
      </c>
      <c r="H25" s="1"/>
    </row>
    <row r="26" spans="1:8" ht="15" thickBot="1">
      <c r="A26" s="1">
        <v>44197</v>
      </c>
      <c r="B26" s="3">
        <v>316</v>
      </c>
      <c r="C26" s="16">
        <v>280</v>
      </c>
      <c r="D26" s="12">
        <v>60</v>
      </c>
      <c r="E26" s="7">
        <v>276</v>
      </c>
      <c r="F26" s="16">
        <v>320</v>
      </c>
      <c r="G26" s="12">
        <v>40</v>
      </c>
      <c r="H26" s="1"/>
    </row>
    <row r="27" spans="1:8" ht="15" thickBot="1">
      <c r="A27" s="1">
        <v>44228</v>
      </c>
      <c r="B27" s="4">
        <v>304</v>
      </c>
      <c r="C27" s="17">
        <v>390</v>
      </c>
      <c r="D27" s="13">
        <v>90</v>
      </c>
      <c r="E27" s="8">
        <v>290</v>
      </c>
      <c r="F27" s="17">
        <v>396</v>
      </c>
      <c r="G27" s="13">
        <v>64</v>
      </c>
      <c r="H27" s="1"/>
    </row>
    <row r="28" spans="1:8" ht="15" thickBot="1">
      <c r="A28" s="1">
        <v>44256</v>
      </c>
      <c r="B28" s="4">
        <v>308</v>
      </c>
      <c r="C28" s="17">
        <v>500</v>
      </c>
      <c r="D28" s="13">
        <v>42</v>
      </c>
      <c r="E28" s="8">
        <v>238</v>
      </c>
      <c r="F28" s="17">
        <v>500</v>
      </c>
      <c r="G28" s="13">
        <v>44</v>
      </c>
      <c r="H28" s="1"/>
    </row>
    <row r="29" spans="1:8" ht="15" thickBot="1">
      <c r="A29" s="1">
        <v>44287</v>
      </c>
      <c r="B29" s="3">
        <v>310</v>
      </c>
      <c r="C29" s="16">
        <v>415</v>
      </c>
      <c r="D29" s="12">
        <v>12</v>
      </c>
      <c r="E29" s="7">
        <v>310</v>
      </c>
      <c r="F29" s="16">
        <v>398</v>
      </c>
      <c r="G29" s="12">
        <v>18</v>
      </c>
      <c r="H29" s="1"/>
    </row>
    <row r="30" spans="1:8" ht="15" thickBot="1">
      <c r="A30" s="1">
        <v>44317</v>
      </c>
      <c r="B30" s="4">
        <v>288</v>
      </c>
      <c r="C30" s="17">
        <v>354</v>
      </c>
      <c r="D30" s="13">
        <v>34</v>
      </c>
      <c r="E30" s="8">
        <v>286</v>
      </c>
      <c r="F30" s="17">
        <v>333</v>
      </c>
      <c r="G30" s="13">
        <v>34</v>
      </c>
      <c r="H30" s="1"/>
    </row>
    <row r="31" spans="1:8" ht="15" thickBot="1">
      <c r="A31" s="1">
        <v>44348</v>
      </c>
      <c r="B31" s="3">
        <v>192</v>
      </c>
      <c r="C31" s="16">
        <v>353</v>
      </c>
      <c r="D31" s="12">
        <v>28</v>
      </c>
      <c r="E31" s="7">
        <v>210</v>
      </c>
      <c r="F31" s="16">
        <v>306</v>
      </c>
      <c r="G31" s="12">
        <v>25</v>
      </c>
      <c r="H31" s="1"/>
    </row>
    <row r="32" spans="1:8" ht="15" thickBot="1">
      <c r="A32" s="1">
        <v>44378</v>
      </c>
      <c r="B32" s="3">
        <v>130</v>
      </c>
      <c r="C32" s="16">
        <v>489</v>
      </c>
      <c r="D32" s="12">
        <v>105</v>
      </c>
      <c r="E32" s="7">
        <v>144</v>
      </c>
      <c r="F32" s="16">
        <v>227.5</v>
      </c>
      <c r="G32" s="12">
        <v>102</v>
      </c>
      <c r="H32" s="1"/>
    </row>
    <row r="33" spans="1:8" ht="15" thickBot="1">
      <c r="A33" s="1">
        <v>44409</v>
      </c>
      <c r="B33" s="3">
        <v>122</v>
      </c>
      <c r="C33" s="16">
        <v>388</v>
      </c>
      <c r="D33" s="12">
        <v>222</v>
      </c>
      <c r="E33" s="7">
        <v>146</v>
      </c>
      <c r="F33" s="16">
        <v>420.5</v>
      </c>
      <c r="G33" s="12">
        <v>140</v>
      </c>
      <c r="H33" s="1"/>
    </row>
    <row r="34" spans="1:8" ht="15" thickBot="1">
      <c r="A34" s="1">
        <v>44440</v>
      </c>
      <c r="B34" s="3">
        <v>224</v>
      </c>
      <c r="C34" s="16">
        <v>540</v>
      </c>
      <c r="D34" s="12">
        <v>55</v>
      </c>
      <c r="E34" s="7">
        <v>218</v>
      </c>
      <c r="F34" s="16">
        <v>406</v>
      </c>
      <c r="G34" s="12">
        <v>106</v>
      </c>
      <c r="H34" s="1"/>
    </row>
    <row r="35" spans="1:8" ht="15" thickBot="1">
      <c r="A35" s="1">
        <v>44470</v>
      </c>
      <c r="B35" s="3">
        <v>182</v>
      </c>
      <c r="C35" s="16">
        <v>368</v>
      </c>
      <c r="D35" s="12">
        <v>105</v>
      </c>
      <c r="E35" s="7">
        <v>182</v>
      </c>
      <c r="F35" s="16">
        <v>416</v>
      </c>
      <c r="G35" s="12">
        <v>180</v>
      </c>
      <c r="H35" s="1"/>
    </row>
    <row r="36" spans="1:8" ht="15" thickBot="1">
      <c r="A36" s="1">
        <v>44501</v>
      </c>
      <c r="B36" s="3">
        <v>218</v>
      </c>
      <c r="C36" s="16">
        <v>330</v>
      </c>
      <c r="D36" s="12">
        <v>21</v>
      </c>
      <c r="E36" s="7">
        <v>220</v>
      </c>
      <c r="F36" s="16">
        <v>416</v>
      </c>
      <c r="G36" s="12">
        <v>90</v>
      </c>
      <c r="H36" s="1"/>
    </row>
    <row r="37" spans="1:8" ht="15" thickBot="1">
      <c r="A37" s="1">
        <v>44531</v>
      </c>
      <c r="B37" s="4">
        <v>298</v>
      </c>
      <c r="C37" s="17">
        <v>371</v>
      </c>
      <c r="D37" s="13">
        <v>32</v>
      </c>
      <c r="E37" s="8">
        <v>282</v>
      </c>
      <c r="F37" s="17">
        <v>406</v>
      </c>
      <c r="G37" s="13">
        <v>106</v>
      </c>
      <c r="H37" s="1"/>
    </row>
    <row r="38" spans="1:8">
      <c r="A38" s="1">
        <v>44562</v>
      </c>
      <c r="B38" s="2">
        <v>228</v>
      </c>
      <c r="C38" s="15">
        <v>443</v>
      </c>
      <c r="D38" s="11">
        <v>31</v>
      </c>
      <c r="E38" s="6">
        <v>243</v>
      </c>
      <c r="F38" s="15">
        <v>446</v>
      </c>
      <c r="G38" s="11">
        <v>32</v>
      </c>
    </row>
    <row r="39" spans="1:8">
      <c r="A39" s="1">
        <v>44593</v>
      </c>
      <c r="B39" s="2">
        <v>434</v>
      </c>
      <c r="C39" s="15">
        <v>434</v>
      </c>
      <c r="D39" s="11">
        <v>31</v>
      </c>
      <c r="E39" s="6">
        <v>439</v>
      </c>
      <c r="F39" s="15">
        <v>439</v>
      </c>
      <c r="G39" s="11">
        <v>30</v>
      </c>
    </row>
    <row r="40" spans="1:8">
      <c r="A40" s="1">
        <v>44621</v>
      </c>
      <c r="B40" s="2">
        <v>312</v>
      </c>
      <c r="C40" s="15">
        <v>488</v>
      </c>
      <c r="D40" s="11">
        <v>43</v>
      </c>
      <c r="E40" s="6">
        <v>332</v>
      </c>
      <c r="F40" s="15">
        <v>486</v>
      </c>
      <c r="G40" s="11">
        <v>37</v>
      </c>
    </row>
    <row r="41" spans="1:8">
      <c r="A41" s="1">
        <v>44652</v>
      </c>
      <c r="B41" s="2">
        <v>246</v>
      </c>
      <c r="C41" s="15">
        <v>465</v>
      </c>
      <c r="D41" s="11">
        <v>37</v>
      </c>
      <c r="E41" s="6">
        <v>236</v>
      </c>
      <c r="F41" s="15">
        <v>460</v>
      </c>
      <c r="G41" s="11">
        <v>34</v>
      </c>
    </row>
    <row r="42" spans="1:8">
      <c r="A42" s="1">
        <v>44682</v>
      </c>
      <c r="B42" s="2">
        <v>136</v>
      </c>
      <c r="C42" s="15">
        <v>450</v>
      </c>
      <c r="D42" s="11">
        <v>35</v>
      </c>
      <c r="E42" s="6">
        <v>242</v>
      </c>
      <c r="F42" s="15">
        <v>445</v>
      </c>
      <c r="G42" s="11">
        <v>32</v>
      </c>
    </row>
    <row r="43" spans="1:8">
      <c r="A43" s="1">
        <v>44713</v>
      </c>
      <c r="B43" s="9">
        <v>345</v>
      </c>
      <c r="C43" s="15">
        <v>420</v>
      </c>
      <c r="D43" s="11">
        <v>28</v>
      </c>
      <c r="E43" s="10">
        <v>288</v>
      </c>
      <c r="F43" s="15">
        <v>415</v>
      </c>
      <c r="G43" s="11">
        <v>26</v>
      </c>
    </row>
    <row r="44" spans="1:8">
      <c r="A44" s="1">
        <v>44743</v>
      </c>
      <c r="B44" s="2">
        <v>216</v>
      </c>
      <c r="C44" s="15">
        <v>195</v>
      </c>
      <c r="D44" s="11">
        <v>11</v>
      </c>
      <c r="E44" s="6">
        <v>228</v>
      </c>
      <c r="F44" s="15">
        <v>199</v>
      </c>
      <c r="G44" s="11">
        <v>14</v>
      </c>
    </row>
    <row r="45" spans="1:8">
      <c r="A45" s="1">
        <v>44774</v>
      </c>
      <c r="B45" s="2">
        <v>584</v>
      </c>
      <c r="C45" s="15">
        <v>201</v>
      </c>
      <c r="D45" s="11">
        <v>18</v>
      </c>
      <c r="E45" s="6">
        <v>588</v>
      </c>
      <c r="F45" s="15">
        <v>220</v>
      </c>
      <c r="G45" s="11">
        <v>17</v>
      </c>
    </row>
    <row r="46" spans="1:8">
      <c r="A46" s="1">
        <v>44805</v>
      </c>
      <c r="B46" s="2">
        <v>146</v>
      </c>
      <c r="C46" s="15">
        <v>212</v>
      </c>
      <c r="D46" s="11">
        <v>13</v>
      </c>
      <c r="E46" s="6">
        <v>176</v>
      </c>
      <c r="F46" s="15">
        <v>258</v>
      </c>
      <c r="G46" s="11">
        <v>28.99</v>
      </c>
    </row>
    <row r="47" spans="1:8">
      <c r="A47" s="1">
        <v>44835</v>
      </c>
      <c r="B47" s="2">
        <v>190</v>
      </c>
      <c r="C47" s="15">
        <v>276</v>
      </c>
      <c r="D47" s="11">
        <v>19</v>
      </c>
      <c r="E47" s="6">
        <v>182</v>
      </c>
      <c r="F47" s="15">
        <v>266</v>
      </c>
      <c r="G47" s="11">
        <v>16</v>
      </c>
    </row>
    <row r="48" spans="1:8">
      <c r="A48" s="1">
        <v>44866</v>
      </c>
      <c r="B48" s="2">
        <v>256</v>
      </c>
      <c r="C48" s="15">
        <v>285</v>
      </c>
      <c r="D48" s="11">
        <v>21</v>
      </c>
      <c r="E48" s="6">
        <v>202</v>
      </c>
      <c r="F48" s="15">
        <v>293</v>
      </c>
      <c r="G48" s="11">
        <v>19</v>
      </c>
    </row>
    <row r="49" spans="1:7">
      <c r="A49" s="1">
        <v>44896</v>
      </c>
      <c r="B49" s="2">
        <v>264</v>
      </c>
      <c r="C49" s="15">
        <v>290</v>
      </c>
      <c r="D49" s="11">
        <v>18</v>
      </c>
      <c r="E49" s="6">
        <v>262</v>
      </c>
      <c r="F49" s="15">
        <v>295</v>
      </c>
      <c r="G49" s="11">
        <v>17</v>
      </c>
    </row>
    <row r="50" spans="1:7">
      <c r="A50" s="1">
        <v>44927</v>
      </c>
      <c r="B50" s="2">
        <v>220</v>
      </c>
      <c r="C50" s="15">
        <v>364</v>
      </c>
      <c r="D50" s="11">
        <v>12</v>
      </c>
      <c r="E50" s="6">
        <v>222</v>
      </c>
      <c r="F50" s="15">
        <v>335</v>
      </c>
      <c r="G50" s="11">
        <v>14</v>
      </c>
    </row>
    <row r="51" spans="1:7">
      <c r="A51" s="1">
        <v>44958</v>
      </c>
      <c r="B51" s="2">
        <v>230</v>
      </c>
      <c r="C51" s="15">
        <v>244</v>
      </c>
      <c r="D51" s="11">
        <v>12</v>
      </c>
      <c r="E51" s="6">
        <v>234</v>
      </c>
      <c r="F51" s="15">
        <v>373</v>
      </c>
      <c r="G51" s="11">
        <v>12</v>
      </c>
    </row>
    <row r="52" spans="1:7">
      <c r="A52" s="1">
        <v>44986</v>
      </c>
      <c r="B52" s="2">
        <v>274</v>
      </c>
      <c r="C52" s="15">
        <v>311</v>
      </c>
      <c r="D52" s="11">
        <v>20</v>
      </c>
      <c r="E52" s="6">
        <v>244</v>
      </c>
      <c r="F52" s="15">
        <v>331</v>
      </c>
      <c r="G52" s="11">
        <v>14</v>
      </c>
    </row>
    <row r="53" spans="1:7">
      <c r="A53" s="1">
        <v>45017</v>
      </c>
      <c r="B53" s="2">
        <v>238</v>
      </c>
      <c r="C53" s="15">
        <v>390</v>
      </c>
      <c r="D53" s="11">
        <v>46</v>
      </c>
      <c r="E53" s="6">
        <v>238</v>
      </c>
      <c r="F53" s="15">
        <v>396</v>
      </c>
      <c r="G53" s="11">
        <v>42</v>
      </c>
    </row>
    <row r="54" spans="1:7">
      <c r="A54" s="1">
        <v>45047</v>
      </c>
      <c r="B54" s="2">
        <v>256</v>
      </c>
      <c r="C54" s="15">
        <v>372</v>
      </c>
      <c r="D54" s="11">
        <v>34</v>
      </c>
      <c r="E54" s="6">
        <v>260</v>
      </c>
      <c r="F54" s="15">
        <v>384</v>
      </c>
      <c r="G54" s="11">
        <v>36</v>
      </c>
    </row>
    <row r="55" spans="1:7">
      <c r="A55" s="1">
        <v>45078</v>
      </c>
      <c r="B55" s="2">
        <v>274</v>
      </c>
      <c r="C55" s="15">
        <v>245</v>
      </c>
      <c r="D55" s="11">
        <v>24</v>
      </c>
      <c r="E55" s="6">
        <v>244</v>
      </c>
      <c r="F55" s="15">
        <v>252</v>
      </c>
      <c r="G55" s="11">
        <v>24</v>
      </c>
    </row>
    <row r="56" spans="1:7">
      <c r="A56" s="1">
        <v>45108</v>
      </c>
      <c r="B56" s="2">
        <v>170</v>
      </c>
      <c r="C56" s="15">
        <v>254</v>
      </c>
      <c r="D56" s="11">
        <v>24</v>
      </c>
      <c r="E56" s="6">
        <v>170</v>
      </c>
      <c r="F56" s="15">
        <v>311</v>
      </c>
      <c r="G56" s="11">
        <v>20</v>
      </c>
    </row>
    <row r="57" spans="1:7">
      <c r="A57" s="1">
        <v>45139</v>
      </c>
      <c r="B57" s="2">
        <v>164</v>
      </c>
      <c r="C57" s="15">
        <v>259</v>
      </c>
      <c r="D57" s="11">
        <v>24</v>
      </c>
      <c r="E57" s="6">
        <v>180</v>
      </c>
      <c r="F57" s="15">
        <v>238</v>
      </c>
      <c r="G57" s="11">
        <v>24</v>
      </c>
    </row>
    <row r="58" spans="1:7">
      <c r="A58" s="1">
        <v>45170</v>
      </c>
      <c r="B58" s="2">
        <v>176</v>
      </c>
      <c r="C58" s="15">
        <v>281</v>
      </c>
      <c r="D58" s="11">
        <v>24</v>
      </c>
      <c r="E58" s="6">
        <v>194</v>
      </c>
      <c r="F58" s="15">
        <v>252</v>
      </c>
      <c r="G58" s="11">
        <v>28</v>
      </c>
    </row>
    <row r="59" spans="1:7">
      <c r="A59" s="1">
        <v>45200</v>
      </c>
      <c r="B59" s="2">
        <v>190</v>
      </c>
      <c r="C59" s="15">
        <v>272</v>
      </c>
      <c r="D59" s="11">
        <v>33</v>
      </c>
      <c r="E59" s="6">
        <v>192</v>
      </c>
      <c r="F59" s="15">
        <v>340</v>
      </c>
      <c r="G59" s="11">
        <v>24</v>
      </c>
    </row>
    <row r="60" spans="1:7">
      <c r="A60" s="1">
        <v>45231</v>
      </c>
      <c r="B60" s="2">
        <v>262</v>
      </c>
      <c r="C60" s="15">
        <v>324</v>
      </c>
      <c r="D60" s="11">
        <v>30</v>
      </c>
      <c r="E60" s="6">
        <v>274</v>
      </c>
      <c r="F60" s="15">
        <v>352</v>
      </c>
      <c r="G60" s="11">
        <v>22</v>
      </c>
    </row>
    <row r="61" spans="1:7">
      <c r="A61" s="1">
        <v>45261</v>
      </c>
      <c r="B61" s="2">
        <v>220</v>
      </c>
      <c r="C61" s="15">
        <v>242</v>
      </c>
      <c r="D61" s="11">
        <v>27</v>
      </c>
      <c r="E61" s="6">
        <v>222</v>
      </c>
      <c r="F61" s="15">
        <v>402</v>
      </c>
      <c r="G61" s="11">
        <v>24</v>
      </c>
    </row>
    <row r="62" spans="1:7">
      <c r="A62" s="1">
        <v>45292</v>
      </c>
      <c r="B62" s="2">
        <v>234</v>
      </c>
      <c r="C62" s="15">
        <v>345</v>
      </c>
      <c r="D62" s="11">
        <v>35</v>
      </c>
      <c r="E62" s="6">
        <v>238</v>
      </c>
      <c r="F62" s="15">
        <v>351</v>
      </c>
      <c r="G62" s="11">
        <v>37</v>
      </c>
    </row>
    <row r="63" spans="1:7">
      <c r="A63" s="1">
        <v>45323</v>
      </c>
      <c r="B63" s="2">
        <v>310</v>
      </c>
      <c r="C63" s="15">
        <v>456</v>
      </c>
      <c r="D63" s="11">
        <v>37</v>
      </c>
      <c r="E63" s="6">
        <v>314</v>
      </c>
      <c r="F63" s="15">
        <v>463</v>
      </c>
      <c r="G63" s="11">
        <v>38</v>
      </c>
    </row>
    <row r="64" spans="1:7">
      <c r="A64" s="1">
        <v>45352</v>
      </c>
      <c r="B64" s="2">
        <v>234</v>
      </c>
      <c r="C64" s="15">
        <v>425</v>
      </c>
      <c r="D64" s="11">
        <v>36</v>
      </c>
      <c r="E64" s="6">
        <v>238</v>
      </c>
      <c r="F64" s="15">
        <v>444</v>
      </c>
      <c r="G64" s="11">
        <v>37</v>
      </c>
    </row>
    <row r="65" spans="1:7">
      <c r="A65" s="1">
        <v>45383</v>
      </c>
      <c r="B65" s="2">
        <v>232</v>
      </c>
      <c r="C65" s="15">
        <v>410</v>
      </c>
      <c r="D65" s="11">
        <v>35</v>
      </c>
      <c r="E65" s="6">
        <v>296</v>
      </c>
      <c r="F65" s="15">
        <v>406</v>
      </c>
      <c r="G65" s="11">
        <v>46</v>
      </c>
    </row>
    <row r="66" spans="1:7">
      <c r="A66" s="1">
        <v>45413</v>
      </c>
      <c r="B66" s="2">
        <v>178</v>
      </c>
      <c r="C66" s="15">
        <v>415</v>
      </c>
      <c r="D66" s="11">
        <v>25</v>
      </c>
      <c r="E66" s="6">
        <v>256</v>
      </c>
      <c r="F66" s="15">
        <v>395</v>
      </c>
      <c r="G66" s="11">
        <v>24</v>
      </c>
    </row>
    <row r="67" spans="1:7">
      <c r="A67" s="1">
        <v>45444</v>
      </c>
      <c r="B67" s="2">
        <v>200</v>
      </c>
      <c r="C67" s="15">
        <v>354</v>
      </c>
      <c r="D67" s="11">
        <v>14</v>
      </c>
      <c r="E67" s="6">
        <v>298</v>
      </c>
      <c r="F67" s="15">
        <v>432</v>
      </c>
      <c r="G67" s="11">
        <v>26</v>
      </c>
    </row>
    <row r="68" spans="1:7">
      <c r="A68" s="1">
        <v>45474</v>
      </c>
      <c r="B68" s="2">
        <v>232</v>
      </c>
      <c r="C68" s="15">
        <v>415</v>
      </c>
      <c r="D68" s="11">
        <v>23</v>
      </c>
      <c r="E68" s="6">
        <v>226</v>
      </c>
      <c r="F68" s="15">
        <v>432</v>
      </c>
      <c r="G68" s="11">
        <v>26</v>
      </c>
    </row>
    <row r="69" spans="1:7">
      <c r="A69" s="1">
        <v>45505</v>
      </c>
      <c r="B69" s="2">
        <v>216</v>
      </c>
      <c r="C69" s="15">
        <v>425</v>
      </c>
      <c r="D69" s="11">
        <v>36</v>
      </c>
      <c r="E69" s="6">
        <v>192</v>
      </c>
      <c r="F69" s="15">
        <v>444</v>
      </c>
      <c r="G69" s="11">
        <v>37</v>
      </c>
    </row>
    <row r="70" spans="1:7">
      <c r="A70" s="1">
        <v>45536</v>
      </c>
      <c r="B70" s="2">
        <v>196</v>
      </c>
      <c r="C70" s="15">
        <v>451</v>
      </c>
      <c r="D70" s="11">
        <v>34</v>
      </c>
      <c r="E70" s="6">
        <v>118</v>
      </c>
      <c r="F70" s="15">
        <v>431</v>
      </c>
      <c r="G70" s="11">
        <v>36</v>
      </c>
    </row>
    <row r="71" spans="1:7">
      <c r="A71" s="1">
        <v>45566</v>
      </c>
      <c r="B71" s="2">
        <v>256</v>
      </c>
      <c r="C71" s="15">
        <v>272</v>
      </c>
      <c r="D71" s="11">
        <v>33</v>
      </c>
      <c r="E71" s="6">
        <v>250</v>
      </c>
      <c r="F71" s="15">
        <v>340</v>
      </c>
      <c r="G71" s="11">
        <v>24</v>
      </c>
    </row>
    <row r="72" spans="1:7">
      <c r="A72" s="1">
        <v>45597</v>
      </c>
      <c r="B72" s="2">
        <v>214</v>
      </c>
      <c r="C72" s="15">
        <v>324</v>
      </c>
      <c r="D72" s="11">
        <v>30</v>
      </c>
      <c r="E72" s="6">
        <v>214</v>
      </c>
      <c r="F72" s="15">
        <v>352</v>
      </c>
      <c r="G72" s="11">
        <v>22</v>
      </c>
    </row>
    <row r="73" spans="1:7">
      <c r="A73" s="1">
        <v>45627</v>
      </c>
      <c r="B73" s="2">
        <v>270</v>
      </c>
      <c r="C73" s="15">
        <v>242</v>
      </c>
      <c r="D73" s="11">
        <v>27</v>
      </c>
      <c r="E73" s="6">
        <v>180</v>
      </c>
      <c r="F73" s="15">
        <v>402</v>
      </c>
      <c r="G73" s="11">
        <v>24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gauhar maqubool</dc:creator>
  <cp:lastModifiedBy>gauhar maqubool</cp:lastModifiedBy>
  <dcterms:created xsi:type="dcterms:W3CDTF">2025-10-10T05:35:00Z</dcterms:created>
  <dcterms:modified xsi:type="dcterms:W3CDTF">2025-11-11T06:51:41Z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CDD31ABE2AD24EE3BD23CFFF4BA01B52_13</vt:lpwstr>
  </property>
  <property fmtid="{D5CDD505-2E9C-101B-9397-08002B2CF9AE}" pid="3" name="KSOProductBuildVer">
    <vt:lpwstr>1033-12.2.0.23155</vt:lpwstr>
  </property>
</Properties>
</file>